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<sst xmlns="http://schemas.openxmlformats.org/spreadsheetml/2006/main" count="59" uniqueCount="36">
  <si>
    <t>Data</t>
  </si>
  <si>
    <t>Descrição</t>
  </si>
  <si>
    <t>Movimento</t>
  </si>
  <si>
    <t>Valor</t>
  </si>
  <si>
    <t>Fatura Eletricidade</t>
  </si>
  <si>
    <t>Débito</t>
  </si>
  <si>
    <t>Supermercado Délice</t>
  </si>
  <si>
    <t>Transferência Recibida - João</t>
  </si>
  <si>
    <t>Crédito</t>
  </si>
  <si>
    <t>Cafeteria Central</t>
  </si>
  <si>
    <t>Pagamento de Renda</t>
  </si>
  <si>
    <t>Reembolso Plataforma X</t>
  </si>
  <si>
    <t>Restaurante Solar</t>
  </si>
  <si>
    <t>Salário Mensal</t>
  </si>
  <si>
    <t>Compra Online - Livraria</t>
  </si>
  <si>
    <t>Subscrição Streaming</t>
  </si>
  <si>
    <t>Transferência Recebida - Maria</t>
  </si>
  <si>
    <t>Gasolina - Posto Norte</t>
  </si>
  <si>
    <t>Farmácia Saúde</t>
  </si>
  <si>
    <t>Devolução Compra Online</t>
  </si>
  <si>
    <t>Padaria Trigo Doce</t>
  </si>
  <si>
    <t>Pagamento Academia</t>
  </si>
  <si>
    <t>Transferência Recebida - Cliente A</t>
  </si>
  <si>
    <t>Restaurante da Praça</t>
  </si>
  <si>
    <t>Serviço de Táxi</t>
  </si>
  <si>
    <t>Reembolso Seguro</t>
  </si>
  <si>
    <t>Aula</t>
  </si>
  <si>
    <t>bolsa</t>
  </si>
  <si>
    <t>portal</t>
  </si>
  <si>
    <t>Sumario</t>
  </si>
  <si>
    <t>Total de recebimentos</t>
  </si>
  <si>
    <t>Total de despesas</t>
  </si>
  <si>
    <t>Saldo</t>
  </si>
  <si>
    <t>Detalhe Mensal</t>
  </si>
  <si>
    <t>Selecione Mês</t>
  </si>
  <si>
    <t>Novembro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</si>
</sst>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#,##0.00&quot;€&quot;"/>
    <numFmt numFmtId="166" formatCode="#,##0.00\ [$€-1]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CCCCCC"/>
      <name val="Arial"/>
      <scheme val="minor"/>
    </font>
    <font>
      <color rgb="FFFFFFFF"/>
      <name val="Arial"/>
      <scheme val="minor"/>
    </font>
    <font>
      <b/>
      <sz val="12.0"/>
      <color rgb="FF666666"/>
      <name val="Comfortaa"/>
    </font>
    <font>
      <color rgb="FF3C78D8"/>
      <name val="Oswald"/>
    </font>
    <font/>
    <font>
      <sz val="22.0"/>
      <color rgb="FF666666"/>
      <name val="Trebuchet MS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/>
    </xf>
    <xf borderId="0" fillId="2" fontId="2" numFmtId="0" xfId="0" applyFill="1" applyFont="1"/>
    <xf borderId="0" fillId="3" fontId="3" numFmtId="0" xfId="0" applyFill="1" applyFont="1"/>
    <xf borderId="0" fillId="2" fontId="4" numFmtId="0" xfId="0" applyAlignment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0" fontId="6" numFmtId="0" xfId="0" applyBorder="1" applyFont="1"/>
    <xf borderId="0" fillId="2" fontId="7" numFmtId="166" xfId="0" applyAlignment="1" applyFont="1" applyNumberFormat="1">
      <alignment horizontal="left" readingOrder="0"/>
    </xf>
    <xf borderId="1" fillId="2" fontId="5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C9DAF8"/>
              </a:solidFill>
            </c:spPr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Dashboard!$B$4:$B$7</c:f>
            </c:strRef>
          </c:cat>
          <c:val>
            <c:numRef>
              <c:f>Dashboard!$B$5:$B$8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28575</xdr:rowOff>
    </xdr:from>
    <xdr:ext cx="5638800" cy="31623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904875</xdr:colOff>
      <xdr:row>17</xdr:row>
      <xdr:rowOff>190500</xdr:rowOff>
    </xdr:from>
    <xdr:ext cx="7715250" cy="1781175"/>
    <xdr:pic>
      <xdr:nvPicPr>
        <xdr:cNvPr id="164556221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40" displayName="Tabela1" name="Tabela1" id="1">
  <tableColumns count="4">
    <tableColumn name="Data" id="1"/>
    <tableColumn name="Descrição" id="2"/>
    <tableColumn name="Movimento" id="3"/>
    <tableColumn name="Valor" id="4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63"/>
    <col customWidth="1" min="3" max="3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45658.0</v>
      </c>
      <c r="B2" s="3" t="s">
        <v>4</v>
      </c>
      <c r="C2" s="4" t="s">
        <v>5</v>
      </c>
      <c r="D2" s="5">
        <v>65.56</v>
      </c>
    </row>
    <row r="3" ht="22.5" customHeight="1">
      <c r="A3" s="2">
        <v>45660.0</v>
      </c>
      <c r="B3" s="3" t="s">
        <v>6</v>
      </c>
      <c r="C3" s="4" t="s">
        <v>5</v>
      </c>
      <c r="D3" s="5">
        <v>42.75</v>
      </c>
    </row>
    <row r="4" ht="22.5" customHeight="1">
      <c r="A4" s="2">
        <v>45661.0</v>
      </c>
      <c r="B4" s="3" t="s">
        <v>7</v>
      </c>
      <c r="C4" s="4" t="s">
        <v>8</v>
      </c>
      <c r="D4" s="5">
        <v>250.0</v>
      </c>
    </row>
    <row r="5" ht="22.5" customHeight="1">
      <c r="A5" s="2">
        <v>45662.0</v>
      </c>
      <c r="B5" s="3" t="s">
        <v>9</v>
      </c>
      <c r="C5" s="4" t="s">
        <v>5</v>
      </c>
      <c r="D5" s="5">
        <v>3.2</v>
      </c>
    </row>
    <row r="6" ht="22.5" customHeight="1">
      <c r="A6" s="2">
        <v>45664.0</v>
      </c>
      <c r="B6" s="3" t="s">
        <v>10</v>
      </c>
      <c r="C6" s="4" t="s">
        <v>5</v>
      </c>
      <c r="D6" s="5">
        <v>650.0</v>
      </c>
    </row>
    <row r="7" ht="22.5" customHeight="1">
      <c r="A7" s="2">
        <v>45666.0</v>
      </c>
      <c r="B7" s="3" t="s">
        <v>11</v>
      </c>
      <c r="C7" s="4" t="s">
        <v>8</v>
      </c>
      <c r="D7" s="5">
        <v>15.5</v>
      </c>
    </row>
    <row r="8" ht="22.5" customHeight="1">
      <c r="A8" s="2">
        <v>45667.0</v>
      </c>
      <c r="B8" s="3" t="s">
        <v>12</v>
      </c>
      <c r="C8" s="4" t="s">
        <v>5</v>
      </c>
      <c r="D8" s="5">
        <v>27.4</v>
      </c>
    </row>
    <row r="9" ht="22.5" customHeight="1">
      <c r="A9" s="2">
        <v>45700.0</v>
      </c>
      <c r="B9" s="3" t="s">
        <v>13</v>
      </c>
      <c r="C9" s="4" t="s">
        <v>8</v>
      </c>
      <c r="D9" s="5">
        <v>1850.0</v>
      </c>
    </row>
    <row r="10" ht="22.5" customHeight="1">
      <c r="A10" s="2">
        <v>45701.0</v>
      </c>
      <c r="B10" s="3" t="s">
        <v>14</v>
      </c>
      <c r="C10" s="4" t="s">
        <v>5</v>
      </c>
      <c r="D10" s="5">
        <v>18.9</v>
      </c>
    </row>
    <row r="11" ht="22.5" customHeight="1">
      <c r="A11" s="2">
        <v>45702.0</v>
      </c>
      <c r="B11" s="3" t="s">
        <v>15</v>
      </c>
      <c r="C11" s="4" t="s">
        <v>5</v>
      </c>
      <c r="D11" s="5">
        <v>7.99</v>
      </c>
    </row>
    <row r="12" ht="22.5" customHeight="1">
      <c r="A12" s="2">
        <v>45703.0</v>
      </c>
      <c r="B12" s="3" t="s">
        <v>16</v>
      </c>
      <c r="C12" s="4" t="s">
        <v>8</v>
      </c>
      <c r="D12" s="5">
        <v>120.0</v>
      </c>
    </row>
    <row r="13" ht="22.5" customHeight="1">
      <c r="A13" s="2">
        <v>45704.0</v>
      </c>
      <c r="B13" s="3" t="s">
        <v>17</v>
      </c>
      <c r="C13" s="4" t="s">
        <v>5</v>
      </c>
      <c r="D13" s="5">
        <v>55.8</v>
      </c>
    </row>
    <row r="14" ht="22.5" customHeight="1">
      <c r="A14" s="2">
        <v>45705.0</v>
      </c>
      <c r="B14" s="3" t="s">
        <v>18</v>
      </c>
      <c r="C14" s="4" t="s">
        <v>5</v>
      </c>
      <c r="D14" s="5">
        <v>12.6</v>
      </c>
    </row>
    <row r="15" ht="22.5" customHeight="1">
      <c r="A15" s="2">
        <v>45706.0</v>
      </c>
      <c r="B15" s="3" t="s">
        <v>19</v>
      </c>
      <c r="C15" s="4" t="s">
        <v>8</v>
      </c>
      <c r="D15" s="5">
        <v>9.99</v>
      </c>
    </row>
    <row r="16" ht="22.5" customHeight="1">
      <c r="A16" s="2">
        <v>45707.0</v>
      </c>
      <c r="B16" s="3" t="s">
        <v>20</v>
      </c>
      <c r="C16" s="4" t="s">
        <v>5</v>
      </c>
      <c r="D16" s="5">
        <v>4.5</v>
      </c>
    </row>
    <row r="17" ht="22.5" customHeight="1">
      <c r="A17" s="2">
        <v>45738.0</v>
      </c>
      <c r="B17" s="3" t="s">
        <v>6</v>
      </c>
      <c r="C17" s="4" t="s">
        <v>5</v>
      </c>
      <c r="D17" s="5">
        <v>38.1</v>
      </c>
    </row>
    <row r="18" ht="22.5" customHeight="1">
      <c r="A18" s="2">
        <v>45739.0</v>
      </c>
      <c r="B18" s="3" t="s">
        <v>21</v>
      </c>
      <c r="C18" s="4" t="s">
        <v>5</v>
      </c>
      <c r="D18" s="5">
        <v>29.9</v>
      </c>
    </row>
    <row r="19" ht="22.5" customHeight="1">
      <c r="A19" s="2">
        <v>45740.0</v>
      </c>
      <c r="B19" s="3" t="s">
        <v>22</v>
      </c>
      <c r="C19" s="4" t="s">
        <v>8</v>
      </c>
      <c r="D19" s="5">
        <v>300.0</v>
      </c>
    </row>
    <row r="20" ht="22.5" customHeight="1">
      <c r="A20" s="2">
        <v>45741.0</v>
      </c>
      <c r="B20" s="3" t="s">
        <v>23</v>
      </c>
      <c r="C20" s="4" t="s">
        <v>5</v>
      </c>
      <c r="D20" s="5">
        <v>22.3</v>
      </c>
    </row>
    <row r="21" ht="22.5" customHeight="1">
      <c r="A21" s="2">
        <v>45742.0</v>
      </c>
      <c r="B21" s="3" t="s">
        <v>24</v>
      </c>
      <c r="C21" s="4" t="s">
        <v>5</v>
      </c>
      <c r="D21" s="5">
        <v>11.7</v>
      </c>
    </row>
    <row r="22" ht="22.5" customHeight="1">
      <c r="A22" s="2">
        <v>45743.0</v>
      </c>
      <c r="B22" s="3" t="s">
        <v>25</v>
      </c>
      <c r="C22" s="4" t="s">
        <v>8</v>
      </c>
      <c r="D22" s="5">
        <v>45.0</v>
      </c>
    </row>
    <row r="23" ht="22.5" customHeight="1">
      <c r="A23" s="6">
        <v>45980.0</v>
      </c>
      <c r="B23" s="7" t="s">
        <v>26</v>
      </c>
      <c r="C23" s="8" t="s">
        <v>8</v>
      </c>
      <c r="D23" s="5">
        <v>1000.0</v>
      </c>
    </row>
    <row r="24" ht="22.5" customHeight="1">
      <c r="A24" s="6">
        <v>45980.0</v>
      </c>
      <c r="B24" s="7" t="s">
        <v>27</v>
      </c>
      <c r="C24" s="8" t="s">
        <v>8</v>
      </c>
      <c r="D24" s="5">
        <v>600.0</v>
      </c>
    </row>
    <row r="25" ht="22.5" customHeight="1">
      <c r="A25" s="6">
        <v>45980.0</v>
      </c>
      <c r="B25" s="7" t="s">
        <v>28</v>
      </c>
      <c r="C25" s="8" t="s">
        <v>5</v>
      </c>
      <c r="D25" s="5">
        <v>45.0</v>
      </c>
    </row>
    <row r="26" ht="22.5" customHeight="1">
      <c r="A26" s="6"/>
      <c r="B26" s="7"/>
      <c r="C26" s="8"/>
      <c r="D26" s="5">
        <v>45.0</v>
      </c>
    </row>
    <row r="27" ht="22.5" customHeight="1">
      <c r="A27" s="6"/>
      <c r="B27" s="7"/>
      <c r="C27" s="8"/>
      <c r="D27" s="5">
        <v>45.0</v>
      </c>
    </row>
    <row r="28" ht="22.5" customHeight="1">
      <c r="A28" s="6"/>
      <c r="B28" s="7"/>
      <c r="C28" s="8"/>
      <c r="D28" s="5">
        <v>45.0</v>
      </c>
    </row>
    <row r="29" ht="22.5" customHeight="1">
      <c r="A29" s="6"/>
      <c r="B29" s="7"/>
      <c r="C29" s="8"/>
      <c r="D29" s="5">
        <v>45.0</v>
      </c>
    </row>
    <row r="30" ht="22.5" customHeight="1">
      <c r="A30" s="6"/>
      <c r="B30" s="7"/>
      <c r="C30" s="8"/>
      <c r="D30" s="5">
        <v>45.0</v>
      </c>
    </row>
    <row r="31" ht="22.5" customHeight="1">
      <c r="A31" s="6"/>
      <c r="B31" s="7"/>
      <c r="C31" s="8"/>
      <c r="D31" s="5">
        <v>45.0</v>
      </c>
    </row>
    <row r="32" ht="22.5" customHeight="1">
      <c r="A32" s="6"/>
      <c r="B32" s="7"/>
      <c r="C32" s="8"/>
      <c r="D32" s="5">
        <v>45.0</v>
      </c>
    </row>
    <row r="33" ht="22.5" customHeight="1">
      <c r="A33" s="6"/>
      <c r="B33" s="7"/>
      <c r="C33" s="8"/>
      <c r="D33" s="5">
        <v>45.0</v>
      </c>
    </row>
    <row r="34" ht="22.5" customHeight="1">
      <c r="A34" s="6"/>
      <c r="B34" s="7"/>
      <c r="C34" s="8"/>
      <c r="D34" s="5">
        <v>45.0</v>
      </c>
    </row>
    <row r="35" ht="22.5" customHeight="1">
      <c r="A35" s="6"/>
      <c r="B35" s="7"/>
      <c r="C35" s="8"/>
      <c r="D35" s="5">
        <v>45.0</v>
      </c>
    </row>
    <row r="36" ht="22.5" customHeight="1">
      <c r="A36" s="6"/>
      <c r="B36" s="7"/>
      <c r="C36" s="8"/>
      <c r="D36" s="5">
        <v>45.0</v>
      </c>
    </row>
    <row r="37" ht="22.5" customHeight="1">
      <c r="A37" s="6"/>
      <c r="B37" s="7"/>
      <c r="C37" s="8"/>
      <c r="D37" s="5">
        <v>45.0</v>
      </c>
    </row>
    <row r="38" ht="22.5" customHeight="1">
      <c r="A38" s="6"/>
      <c r="B38" s="7"/>
      <c r="C38" s="8"/>
      <c r="D38" s="5">
        <v>45.0</v>
      </c>
    </row>
    <row r="39" ht="22.5" customHeight="1">
      <c r="A39" s="6"/>
      <c r="B39" s="7"/>
      <c r="C39" s="8"/>
      <c r="D39" s="5">
        <v>45.0</v>
      </c>
    </row>
    <row r="40" ht="22.5" customHeight="1">
      <c r="A40" s="6"/>
      <c r="B40" s="7"/>
      <c r="C40" s="8"/>
      <c r="D40" s="5">
        <v>45.0</v>
      </c>
    </row>
    <row r="41">
      <c r="D41" s="9"/>
    </row>
    <row r="42">
      <c r="D42" s="9"/>
    </row>
    <row r="43">
      <c r="D43" s="9"/>
    </row>
    <row r="44">
      <c r="D44" s="9"/>
    </row>
    <row r="45">
      <c r="D45" s="9"/>
    </row>
    <row r="46">
      <c r="D46" s="9"/>
    </row>
    <row r="47">
      <c r="D47" s="9"/>
    </row>
    <row r="48">
      <c r="D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  <row r="54">
      <c r="D54" s="9"/>
    </row>
    <row r="55">
      <c r="D55" s="9"/>
    </row>
    <row r="56">
      <c r="D56" s="9"/>
    </row>
    <row r="57">
      <c r="D57" s="9"/>
    </row>
  </sheetData>
  <dataValidations>
    <dataValidation type="custom" allowBlank="1" showDropDown="1" sqref="A2:A40">
      <formula1>OR(NOT(ISERROR(DATEVALUE(A2))), AND(ISNUMBER(A2), LEFT(CELL("format", A2))="D"))</formula1>
    </dataValidation>
    <dataValidation type="custom" allowBlank="1" showDropDown="1" sqref="D2:D40">
      <formula1>AND(ISNUMBER(D2),(NOT(OR(NOT(ISERROR(DATEVALUE(D2))), AND(ISNUMBER(D2), LEFT(CELL("format", D2))="D")))))</formula1>
    </dataValidation>
    <dataValidation type="list" allowBlank="1" sqref="C2:C40">
      <formula1>"Débito,Crédito"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0"/>
      <c r="B1" s="10"/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</row>
    <row r="2">
      <c r="A2" s="10"/>
      <c r="B2" s="10"/>
      <c r="C2" s="10"/>
      <c r="D2" s="10"/>
      <c r="E2" s="10"/>
      <c r="F2" s="10"/>
      <c r="G2" s="10"/>
      <c r="H2" s="10"/>
      <c r="I2" s="10"/>
      <c r="J2" s="11"/>
      <c r="K2" s="11"/>
      <c r="L2" s="11"/>
      <c r="M2" s="11"/>
      <c r="N2" s="11"/>
    </row>
    <row r="3">
      <c r="A3" s="10"/>
      <c r="B3" s="12" t="s">
        <v>29</v>
      </c>
      <c r="C3" s="10"/>
      <c r="D3" s="10"/>
      <c r="E3" s="10"/>
      <c r="F3" s="10"/>
      <c r="G3" s="10"/>
      <c r="H3" s="10"/>
      <c r="I3" s="10"/>
      <c r="J3" s="11"/>
      <c r="K3" s="11"/>
      <c r="L3" s="11"/>
      <c r="M3" s="11"/>
      <c r="N3" s="11"/>
    </row>
    <row r="4">
      <c r="A4" s="10"/>
      <c r="B4" s="13" t="s">
        <v>30</v>
      </c>
      <c r="C4" s="14"/>
      <c r="D4" s="10"/>
      <c r="E4" s="10"/>
      <c r="F4" s="10"/>
      <c r="G4" s="10"/>
      <c r="H4" s="10"/>
      <c r="I4" s="10"/>
      <c r="J4" s="11"/>
      <c r="K4" s="11"/>
      <c r="L4" s="11"/>
      <c r="M4" s="11"/>
      <c r="N4" s="11"/>
    </row>
    <row r="5">
      <c r="A5" s="10"/>
      <c r="B5" s="15">
        <f>SUMIF(Dados!C2:C1000,"=*crédito*",Dados!D2:D1000)</f>
        <v>4190.49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</row>
    <row r="6" ht="33.0" customHeight="1">
      <c r="A6" s="10"/>
      <c r="D6" s="10"/>
      <c r="E6" s="10"/>
      <c r="F6" s="10"/>
      <c r="G6" s="10"/>
      <c r="H6" s="10"/>
      <c r="I6" s="10"/>
      <c r="J6" s="11"/>
      <c r="K6" s="11"/>
      <c r="L6" s="11"/>
      <c r="M6" s="11"/>
      <c r="N6" s="11"/>
    </row>
    <row r="7">
      <c r="A7" s="10"/>
      <c r="B7" s="13" t="s">
        <v>31</v>
      </c>
      <c r="C7" s="14"/>
      <c r="D7" s="10"/>
      <c r="E7" s="10"/>
      <c r="F7" s="10"/>
      <c r="G7" s="10"/>
      <c r="H7" s="10"/>
      <c r="I7" s="10"/>
      <c r="J7" s="11"/>
      <c r="K7" s="11"/>
      <c r="L7" s="11"/>
      <c r="M7" s="11"/>
      <c r="N7" s="11"/>
    </row>
    <row r="8">
      <c r="A8" s="10"/>
      <c r="B8" s="15">
        <f>SUMIF(Dados!C2:C1000,"=*débito*",Dados!D2:D1000)</f>
        <v>1035.7</v>
      </c>
      <c r="D8" s="10"/>
      <c r="E8" s="10"/>
      <c r="F8" s="10"/>
      <c r="G8" s="10"/>
      <c r="H8" s="10"/>
      <c r="I8" s="10"/>
      <c r="J8" s="11"/>
      <c r="K8" s="11"/>
      <c r="L8" s="11"/>
      <c r="M8" s="11"/>
      <c r="N8" s="11"/>
    </row>
    <row r="9" ht="33.75" customHeight="1">
      <c r="A9" s="10"/>
      <c r="D9" s="10"/>
      <c r="E9" s="10"/>
      <c r="F9" s="10"/>
      <c r="G9" s="10"/>
      <c r="H9" s="10"/>
      <c r="I9" s="10"/>
      <c r="J9" s="11"/>
      <c r="K9" s="11"/>
      <c r="L9" s="11"/>
      <c r="M9" s="11"/>
      <c r="N9" s="11"/>
    </row>
    <row r="10">
      <c r="A10" s="10"/>
      <c r="B10" s="16" t="s">
        <v>32</v>
      </c>
      <c r="C10" s="14"/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</row>
    <row r="11">
      <c r="A11" s="10"/>
      <c r="B11" s="15">
        <f>B5-B8</f>
        <v>3154.79</v>
      </c>
      <c r="D11" s="10"/>
      <c r="E11" s="10"/>
      <c r="F11" s="10"/>
      <c r="G11" s="10"/>
      <c r="H11" s="10"/>
      <c r="I11" s="10"/>
      <c r="J11" s="11"/>
      <c r="K11" s="11"/>
      <c r="L11" s="11"/>
      <c r="M11" s="11"/>
      <c r="N11" s="11"/>
    </row>
    <row r="12">
      <c r="A12" s="10"/>
      <c r="D12" s="10"/>
      <c r="E12" s="10"/>
      <c r="F12" s="10"/>
      <c r="G12" s="10"/>
      <c r="H12" s="10"/>
      <c r="I12" s="10"/>
      <c r="J12" s="11"/>
      <c r="K12" s="11"/>
      <c r="L12" s="11"/>
      <c r="M12" s="11"/>
      <c r="N12" s="11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1"/>
      <c r="K13" s="11"/>
      <c r="L13" s="11"/>
      <c r="M13" s="11"/>
      <c r="N13" s="11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1"/>
      <c r="K14" s="11"/>
      <c r="L14" s="11"/>
      <c r="M14" s="11"/>
      <c r="N14" s="11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1"/>
      <c r="K15" s="11"/>
      <c r="L15" s="11"/>
      <c r="M15" s="11"/>
      <c r="N15" s="11"/>
    </row>
    <row r="16">
      <c r="A16" s="10"/>
      <c r="B16" s="17" t="s">
        <v>33</v>
      </c>
      <c r="C16" s="10"/>
      <c r="D16" s="10"/>
      <c r="E16" s="10"/>
      <c r="F16" s="10"/>
      <c r="G16" s="10"/>
      <c r="H16" s="10"/>
      <c r="I16" s="10"/>
      <c r="J16" s="11"/>
      <c r="K16" s="11"/>
      <c r="L16" s="11"/>
      <c r="M16" s="11"/>
      <c r="N16" s="11"/>
    </row>
    <row r="17">
      <c r="A17" s="10"/>
      <c r="B17" s="13" t="s">
        <v>34</v>
      </c>
      <c r="C17" s="14"/>
      <c r="D17" s="10"/>
      <c r="E17" s="10"/>
      <c r="F17" s="10"/>
      <c r="G17" s="10"/>
      <c r="H17" s="10"/>
      <c r="I17" s="10"/>
      <c r="J17" s="11"/>
      <c r="K17" s="11"/>
      <c r="L17" s="11"/>
      <c r="M17" s="11"/>
      <c r="N17" s="11"/>
    </row>
    <row r="18">
      <c r="A18" s="10"/>
      <c r="B18" s="18" t="s">
        <v>35</v>
      </c>
      <c r="C18" s="10"/>
      <c r="D18" s="10"/>
      <c r="E18" s="10"/>
      <c r="F18" s="10"/>
      <c r="G18" s="10"/>
      <c r="H18" s="10"/>
      <c r="I18" s="10"/>
      <c r="J18" s="11"/>
      <c r="K18" s="11"/>
      <c r="L18" s="11"/>
      <c r="M18" s="11"/>
      <c r="N18" s="11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1"/>
      <c r="K19" s="11"/>
      <c r="L19" s="11"/>
      <c r="M19" s="11"/>
      <c r="N19" s="11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1"/>
      <c r="K20" s="11"/>
      <c r="L20" s="11"/>
      <c r="M20" s="11"/>
      <c r="N20" s="11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1"/>
      <c r="K21" s="11"/>
      <c r="L21" s="11"/>
      <c r="M21" s="11"/>
      <c r="N21" s="11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1"/>
      <c r="K22" s="11"/>
      <c r="L22" s="11"/>
      <c r="M22" s="11"/>
      <c r="N22" s="11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1"/>
      <c r="K23" s="11"/>
      <c r="L23" s="11"/>
      <c r="M23" s="11"/>
      <c r="N23" s="11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1"/>
      <c r="K24" s="11"/>
      <c r="L24" s="11"/>
      <c r="M24" s="11"/>
      <c r="N24" s="11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1"/>
      <c r="K25" s="11"/>
      <c r="L25" s="11"/>
      <c r="M25" s="11"/>
      <c r="N25" s="11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1"/>
      <c r="K26" s="11"/>
      <c r="L26" s="11"/>
      <c r="M26" s="11"/>
      <c r="N26" s="11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1"/>
      <c r="K27" s="11"/>
      <c r="L27" s="11"/>
      <c r="M27" s="11"/>
      <c r="N27" s="11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1"/>
      <c r="K28" s="11"/>
      <c r="L28" s="11"/>
      <c r="M28" s="11"/>
      <c r="N28" s="11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1"/>
      <c r="K29" s="11"/>
      <c r="L29" s="11"/>
      <c r="M29" s="11"/>
      <c r="N29" s="11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1"/>
      <c r="K30" s="11"/>
      <c r="L30" s="11"/>
      <c r="M30" s="11"/>
      <c r="N30" s="11"/>
    </row>
    <row r="35">
      <c r="C35" s="19">
        <f>mesToNumero2(B18)</f>
        <v>11</v>
      </c>
      <c r="D35" s="19" t="str">
        <f>IFERROR(__xludf.DUMMYFUNCTION("FILTER(Dados!C2:D1000, MONTH(Dados!A2:A1000)=C35)"),"Crédito")</f>
        <v>Crédito</v>
      </c>
      <c r="E35" s="20">
        <f>IFERROR(__xludf.DUMMYFUNCTION("""COMPUTED_VALUE"""),1000.0)</f>
        <v>1000</v>
      </c>
    </row>
    <row r="36">
      <c r="D36" s="19" t="str">
        <f>IFERROR(__xludf.DUMMYFUNCTION("""COMPUTED_VALUE"""),"Crédito")</f>
        <v>Crédito</v>
      </c>
      <c r="E36" s="20">
        <f>IFERROR(__xludf.DUMMYFUNCTION("""COMPUTED_VALUE"""),600.0)</f>
        <v>600</v>
      </c>
    </row>
    <row r="37">
      <c r="D37" s="19" t="str">
        <f>IFERROR(__xludf.DUMMYFUNCTION("""COMPUTED_VALUE"""),"Débito")</f>
        <v>Débito</v>
      </c>
      <c r="E37" s="20">
        <f>IFERROR(__xludf.DUMMYFUNCTION("""COMPUTED_VALUE"""),45.0)</f>
        <v>45</v>
      </c>
    </row>
  </sheetData>
  <mergeCells count="7">
    <mergeCell ref="B4:C4"/>
    <mergeCell ref="B7:C7"/>
    <mergeCell ref="B10:C10"/>
    <mergeCell ref="B5:C6"/>
    <mergeCell ref="B8:C9"/>
    <mergeCell ref="B11:C12"/>
    <mergeCell ref="B17:C17"/>
  </mergeCells>
  <dataValidations>
    <dataValidation type="list" allowBlank="1" showErrorMessage="1" sqref="B18">
      <formula1>"Janeiro,Feveriero,Março,Abril,Maio,Junho,Julho,Agosto,Setembro,Outobro,Novembro,Dezembro"</formula1>
    </dataValidation>
  </dataValidations>
  <drawing r:id="rId1"/>
</worksheet>
</file>